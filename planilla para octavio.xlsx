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ctav\Downloads\"/>
    </mc:Choice>
  </mc:AlternateContent>
  <xr:revisionPtr revIDLastSave="0" documentId="13_ncr:1_{C313913E-9859-4916-B766-A4EDC7C51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iano desde 2-5-23" sheetId="1" r:id="rId1"/>
    <sheet name="LOTEO" sheetId="4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2uBH23P6ln8fUzIK4DP1xfcagJn6/XS2lWNrioqn98="/>
    </ext>
  </extLst>
</workbook>
</file>

<file path=xl/calcChain.xml><?xml version="1.0" encoding="utf-8"?>
<calcChain xmlns="http://schemas.openxmlformats.org/spreadsheetml/2006/main">
  <c r="C13" i="3" l="1"/>
  <c r="F7" i="1" l="1"/>
  <c r="F6" i="1"/>
  <c r="F8" i="1" l="1"/>
  <c r="F9" i="1" l="1"/>
  <c r="F16" i="3" l="1"/>
  <c r="F17" i="3" s="1"/>
  <c r="E13" i="3"/>
</calcChain>
</file>

<file path=xl/sharedStrings.xml><?xml version="1.0" encoding="utf-8"?>
<sst xmlns="http://schemas.openxmlformats.org/spreadsheetml/2006/main" count="53" uniqueCount="46">
  <si>
    <t>n° de VR</t>
  </si>
  <si>
    <t>EXPEDIENTE</t>
  </si>
  <si>
    <t>CATASTRO</t>
  </si>
  <si>
    <t>+ 10 %</t>
  </si>
  <si>
    <t>dólares</t>
  </si>
  <si>
    <t>FRENTE</t>
  </si>
  <si>
    <t>FOT</t>
  </si>
  <si>
    <t>FONDO</t>
  </si>
  <si>
    <t>FOS</t>
  </si>
  <si>
    <t>Altura max.</t>
  </si>
  <si>
    <t>Emprendimiento</t>
  </si>
  <si>
    <t>pesos</t>
  </si>
  <si>
    <t>terreno x fos x N° pisos (sin PB) x 8a12% x Costo en u$s/m2</t>
  </si>
  <si>
    <t>G-Maps  ZONA</t>
  </si>
  <si>
    <t>G-Maps FRENTE</t>
  </si>
  <si>
    <t>Frente/Lado</t>
  </si>
  <si>
    <t>Antes/Revisión</t>
  </si>
  <si>
    <t>Total U$S</t>
  </si>
  <si>
    <t>Mariano</t>
  </si>
  <si>
    <t>M3</t>
  </si>
  <si>
    <t>20 Lotes/ Ha</t>
  </si>
  <si>
    <t>USD 2.000</t>
  </si>
  <si>
    <t>INFRAESTRUCTURA X LOTE</t>
  </si>
  <si>
    <t>SE PIERDE EL 40% EN INFRAESTRUCTURA</t>
  </si>
  <si>
    <t>LOTES DE 300 M2</t>
  </si>
  <si>
    <t>USD 5.000 LOTE EN CHICOANA</t>
  </si>
  <si>
    <t>USD 10.000 LOTE EN CAPITAL</t>
  </si>
  <si>
    <t>SE PAGA ENTRE EL 20 Y 40% AL DUEÑO DEL TERRENO</t>
  </si>
  <si>
    <t>Sup. Edif.</t>
  </si>
  <si>
    <t>PROPUESTA</t>
  </si>
  <si>
    <t>FORMULA:</t>
  </si>
  <si>
    <t>TERRENO</t>
  </si>
  <si>
    <t>Sup. Edif. Total</t>
  </si>
  <si>
    <t>Pisos Maximos</t>
  </si>
  <si>
    <t>Terreno</t>
  </si>
  <si>
    <t>m2</t>
  </si>
  <si>
    <t>DÓLAR</t>
  </si>
  <si>
    <t>U$S m2</t>
  </si>
  <si>
    <t>USD</t>
  </si>
  <si>
    <t>-</t>
  </si>
  <si>
    <t>Denuncia</t>
  </si>
  <si>
    <t>LINK DE INMUEBLES</t>
  </si>
  <si>
    <t>LINK DE GOOGLE MAPS</t>
  </si>
  <si>
    <t>123456/12</t>
  </si>
  <si>
    <t>RACZKOSKI MARIANO</t>
  </si>
  <si>
    <t>Avenida Sarmiento 302 -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</si>
</sst>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F7F7F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B05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4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2D69B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BD4B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4" fillId="0" borderId="3" applyNumberFormat="0" applyFill="0" applyBorder="0" applyAlignment="0" applyProtection="0"/>
    <xf numFmtId="43" fontId="16" fillId="0" borderId="0" applyFont="0" applyFill="0" applyBorder="0" applyAlignment="0" applyProtection="0"/>
  </cellStyleXfs>
  <cellXfs count="73">
    <xf numFmtId="0" fontId="0" fillId="0" borderId="0" xfId="0"/>
    <xf numFmtId="0" fontId="5" fillId="0" borderId="1" xfId="0" applyFont="1" applyBorder="1"/>
    <xf numFmtId="0" fontId="6" fillId="0" borderId="0" xfId="0" applyFont="1"/>
    <xf numFmtId="14" fontId="7" fillId="0" borderId="0" xfId="0" applyNumberFormat="1" applyFont="1"/>
    <xf numFmtId="3" fontId="7" fillId="0" borderId="0" xfId="0" applyNumberFormat="1" applyFont="1"/>
    <xf numFmtId="0" fontId="7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10" fillId="0" borderId="0" xfId="0" applyFont="1" applyAlignment="1">
      <alignment horizontal="left"/>
    </xf>
    <xf numFmtId="49" fontId="7" fillId="3" borderId="3" xfId="0" applyNumberFormat="1" applyFont="1" applyFill="1" applyBorder="1"/>
    <xf numFmtId="3" fontId="8" fillId="2" borderId="3" xfId="0" applyNumberFormat="1" applyFont="1" applyFill="1" applyBorder="1" applyAlignment="1">
      <alignment horizontal="right"/>
    </xf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2" xfId="0" applyFont="1" applyBorder="1"/>
    <xf numFmtId="2" fontId="7" fillId="4" borderId="2" xfId="0" applyNumberFormat="1" applyFont="1" applyFill="1" applyBorder="1"/>
    <xf numFmtId="0" fontId="8" fillId="0" borderId="2" xfId="0" applyFont="1" applyBorder="1" applyAlignment="1">
      <alignment horizontal="right"/>
    </xf>
    <xf numFmtId="0" fontId="7" fillId="4" borderId="2" xfId="0" applyFont="1" applyFill="1" applyBorder="1"/>
    <xf numFmtId="0" fontId="7" fillId="4" borderId="3" xfId="0" applyFont="1" applyFill="1" applyBorder="1"/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3" fontId="7" fillId="0" borderId="4" xfId="0" applyNumberFormat="1" applyFont="1" applyBorder="1"/>
    <xf numFmtId="0" fontId="12" fillId="5" borderId="4" xfId="0" applyFont="1" applyFill="1" applyBorder="1" applyAlignment="1">
      <alignment horizontal="center"/>
    </xf>
    <xf numFmtId="3" fontId="7" fillId="3" borderId="4" xfId="0" applyNumberFormat="1" applyFont="1" applyFill="1" applyBorder="1"/>
    <xf numFmtId="3" fontId="8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3" fontId="14" fillId="0" borderId="3" xfId="1" applyNumberFormat="1"/>
    <xf numFmtId="3" fontId="7" fillId="0" borderId="3" xfId="0" applyNumberFormat="1" applyFont="1" applyBorder="1"/>
    <xf numFmtId="3" fontId="8" fillId="6" borderId="4" xfId="0" applyNumberFormat="1" applyFont="1" applyFill="1" applyBorder="1"/>
    <xf numFmtId="0" fontId="8" fillId="0" borderId="3" xfId="0" applyFont="1" applyBorder="1" applyAlignment="1">
      <alignment horizontal="center"/>
    </xf>
    <xf numFmtId="0" fontId="7" fillId="7" borderId="3" xfId="0" applyFont="1" applyFill="1" applyBorder="1"/>
    <xf numFmtId="3" fontId="7" fillId="7" borderId="3" xfId="0" applyNumberFormat="1" applyFont="1" applyFill="1" applyBorder="1"/>
    <xf numFmtId="3" fontId="11" fillId="7" borderId="3" xfId="0" applyNumberFormat="1" applyFont="1" applyFill="1" applyBorder="1"/>
    <xf numFmtId="0" fontId="4" fillId="8" borderId="0" xfId="0" applyFont="1" applyFill="1"/>
    <xf numFmtId="0" fontId="7" fillId="8" borderId="0" xfId="0" applyFont="1" applyFill="1"/>
    <xf numFmtId="0" fontId="0" fillId="8" borderId="0" xfId="0" applyFill="1"/>
    <xf numFmtId="0" fontId="4" fillId="9" borderId="4" xfId="0" applyFont="1" applyFill="1" applyBorder="1"/>
    <xf numFmtId="0" fontId="0" fillId="0" borderId="4" xfId="0" applyBorder="1"/>
    <xf numFmtId="1" fontId="0" fillId="0" borderId="0" xfId="0" applyNumberFormat="1"/>
    <xf numFmtId="43" fontId="0" fillId="0" borderId="0" xfId="2" applyFont="1" applyAlignment="1"/>
    <xf numFmtId="0" fontId="3" fillId="0" borderId="0" xfId="0" applyFont="1"/>
    <xf numFmtId="0" fontId="9" fillId="0" borderId="1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right"/>
    </xf>
    <xf numFmtId="1" fontId="7" fillId="10" borderId="3" xfId="0" applyNumberFormat="1" applyFont="1" applyFill="1" applyBorder="1" applyAlignment="1">
      <alignment horizontal="center"/>
    </xf>
    <xf numFmtId="9" fontId="18" fillId="0" borderId="1" xfId="0" applyNumberFormat="1" applyFont="1" applyBorder="1" applyAlignment="1">
      <alignment horizontal="right"/>
    </xf>
    <xf numFmtId="0" fontId="14" fillId="0" borderId="0" xfId="1" applyBorder="1"/>
    <xf numFmtId="0" fontId="8" fillId="0" borderId="0" xfId="0" applyFont="1" applyAlignment="1">
      <alignment horizontal="left"/>
    </xf>
    <xf numFmtId="2" fontId="8" fillId="0" borderId="3" xfId="0" applyNumberFormat="1" applyFont="1" applyBorder="1" applyAlignment="1">
      <alignment horizontal="left"/>
    </xf>
    <xf numFmtId="3" fontId="7" fillId="0" borderId="3" xfId="0" applyNumberFormat="1" applyFont="1" applyBorder="1" applyAlignment="1">
      <alignment horizontal="center"/>
    </xf>
    <xf numFmtId="0" fontId="19" fillId="0" borderId="0" xfId="0" applyFont="1"/>
    <xf numFmtId="0" fontId="4" fillId="9" borderId="4" xfId="0" applyFont="1" applyFill="1" applyBorder="1" applyAlignment="1">
      <alignment horizontal="center"/>
    </xf>
    <xf numFmtId="49" fontId="8" fillId="11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left"/>
    </xf>
    <xf numFmtId="1" fontId="8" fillId="11" borderId="0" xfId="0" applyNumberFormat="1" applyFont="1" applyFill="1" applyAlignment="1">
      <alignment horizontal="left"/>
    </xf>
    <xf numFmtId="4" fontId="7" fillId="11" borderId="4" xfId="0" applyNumberFormat="1" applyFont="1" applyFill="1" applyBorder="1"/>
    <xf numFmtId="0" fontId="6" fillId="11" borderId="4" xfId="0" applyFont="1" applyFill="1" applyBorder="1"/>
    <xf numFmtId="164" fontId="7" fillId="12" borderId="4" xfId="0" applyNumberFormat="1" applyFont="1" applyFill="1" applyBorder="1"/>
    <xf numFmtId="0" fontId="15" fillId="11" borderId="4" xfId="0" applyFont="1" applyFill="1" applyBorder="1"/>
    <xf numFmtId="0" fontId="7" fillId="12" borderId="4" xfId="0" applyFont="1" applyFill="1" applyBorder="1"/>
    <xf numFmtId="3" fontId="8" fillId="13" borderId="5" xfId="0" applyNumberFormat="1" applyFont="1" applyFill="1" applyBorder="1"/>
    <xf numFmtId="3" fontId="7" fillId="14" borderId="2" xfId="0" applyNumberFormat="1" applyFont="1" applyFill="1" applyBorder="1"/>
    <xf numFmtId="3" fontId="7" fillId="11" borderId="2" xfId="0" applyNumberFormat="1" applyFont="1" applyFill="1" applyBorder="1"/>
    <xf numFmtId="0" fontId="0" fillId="11" borderId="0" xfId="0" applyFill="1" applyAlignment="1">
      <alignment horizontal="center"/>
    </xf>
    <xf numFmtId="14" fontId="7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1" fillId="11" borderId="0" xfId="0" applyFont="1" applyFill="1"/>
    <xf numFmtId="3" fontId="7" fillId="15" borderId="3" xfId="0" applyNumberFormat="1" applyFont="1" applyFill="1" applyBorder="1" applyAlignment="1">
      <alignment horizontal="right"/>
    </xf>
    <xf numFmtId="14" fontId="2" fillId="11" borderId="0" xfId="0" applyNumberFormat="1" applyFont="1" applyFill="1"/>
    <xf numFmtId="0" fontId="0" fillId="11" borderId="4" xfId="0" applyFill="1" applyBorder="1"/>
    <xf numFmtId="0" fontId="4" fillId="9" borderId="4" xfId="0" applyFont="1" applyFill="1" applyBorder="1" applyAlignment="1">
      <alignment horizontal="center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" name="Shap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3" name="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5" name="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7" name="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9" name="Shap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0" name="Shap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1" name="Shap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3" name="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5" name="Shap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6" name="Shap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7" name="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8" name="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49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0" name="Shap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1" name="Shap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5" name="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59" name="Shape 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0" name="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" name="Shape 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" name="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" name="Shape 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" name="Shape 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" name="Shape 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" name="Shape 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" name="Shape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" name="Shape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" name="Shape 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" name="Shape 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" name="Shape 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" name="Shape 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" name="Shape 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" name="Shape 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" name="Shape 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" name="Shape 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" name="Shape 4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" name="Shape 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" name="Shape 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" name="Shape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" name="Shape 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" name="Shape 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" name="Shape 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" name="Shape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" name="Shape 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" name="Shape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" name="Shape 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" name="Shape 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" name="Shape 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" name="Shape 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" name="Shape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" name="Shape 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" name="Shape 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" name="Shape 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" name="Shape 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" name="Shape 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" name="Shape 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" name="Shape 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" name="Shap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" name="Shape 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" name="Shape 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" name="Shape 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" name="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" name="Shape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" name="Shape 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" name="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" name="Shape 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" name="Shape 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" name="Shape 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" name="Shape 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" name="Shape 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" name="Shape 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" name="Shape 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" name="Shape 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" name="Shape 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" name="Shape 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" name="Shape 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" name="Shape 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" name="Shape 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" name="Shape 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" name="Shape 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" name="Shape 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" name="Shape 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" name="Shape 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" name="Shape 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" name="Shape 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" name="Shape 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" name="Shape 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" name="Shape 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" name="Shape 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" name="Shape 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" name="Shape 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" name="Shape 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" name="Shape 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" name="Shape 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" name="Shape 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2" name="Shape 4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3" name="Shape 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4" name="Shape 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6" name="Shape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7" name="Shape 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8" name="Shape 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9" name="Shape 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2" name="Shape 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4" name="Shape 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5" name="Shape 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6" name="Shape 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7" name="Shape 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8" name="Shape 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79" name="Shape 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0" name="Shape 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1" name="Shape 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2" name="Shape 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3" name="Shape 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4" name="Shape 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6" name="Shape 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7" name="Shape 4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89" name="Shape 4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0" name="Shape 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1" name="Shape 4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2" name="Shape 4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3" name="Shape 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4" name="Shape 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5" name="Shape 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6" name="Shape 4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7" name="Shape 4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8" name="Shape 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99" name="Shape 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1" name="Shape 4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2" name="Shape 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4" name="Shape 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5" name="Shape 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6" name="Shape 4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7" name="Shape 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8" name="Shape 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09" name="Shape 4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0" name="Shape 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1" name="Shape 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2" name="Shape 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3" name="Shape 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4" name="Shape 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7" name="Shape 4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19" name="Shape 4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0" name="Shape 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1" name="Shape 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2" name="Shape 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3" name="Shape 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4" name="Shape 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5" name="Shape 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6" name="Shape 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7" name="Shape 4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8" name="Shape 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29" name="Shape 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1" name="Shape 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2" name="Shape 4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4" name="Shape 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5" name="Shape 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6" name="Shape 4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7" name="Shape 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8" name="Shape 4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39" name="Shape 4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0" name="Shape 4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1" name="Shape 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2" name="Shape 4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3" name="Shape 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4" name="Shape 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6" name="Shape 4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7" name="Shape 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49" name="Shape 4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0" name="Shape 4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1" name="Shape 4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2" name="Shape 4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3" name="Shape 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4" name="Shape 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5" name="Shape 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6" name="Shape 4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7" name="Shape 4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8" name="Shape 4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59" name="Shape 4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1" name="Shape 4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2" name="Shape 4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4" name="Shape 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5" name="Shape 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6" name="Shape 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7" name="Shape 4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8" name="Shape 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69" name="Shape 4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0" name="Shape 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1" name="Shape 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2" name="Shape 4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3" name="Shape 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4" name="Shape 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6" name="Shape 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7" name="Shape 4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79" name="Shape 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0" name="Shape 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1" name="Shape 4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2" name="Shape 4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3" name="Shape 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4" name="Shape 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5" name="Shape 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6" name="Shape 4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7" name="Shape 4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8" name="Shape 4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89" name="Shape 4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1" name="Shape 4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2" name="Shape 4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4" name="Shape 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5" name="Shape 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6" name="Shape 4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7" name="Shape 4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8" name="Shape 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299" name="Shape 4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0" name="Shape 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1" name="Shape 4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2" name="Shape 4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3" name="Shape 4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4" name="Shape 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6" name="Shape 4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7" name="Shape 4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09" name="Shape 4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0" name="Shape 4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1" name="Shape 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2" name="Shape 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3" name="Shape 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4" name="Shape 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5" name="Shape 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6" name="Shape 4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7" name="Shape 4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8" name="Shape 4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19" name="Shape 4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0" name="Shape 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1" name="Shape 4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2" name="Shape 4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3" name="Shape 4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4" name="Shape 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325" name="Shape 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07732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07732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2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3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4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5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6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7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8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59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0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1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2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3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4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5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6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7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8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69" name="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0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1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2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3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4" name="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5" name="Shap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6" name="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7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8" name="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79" name="Shap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0" name="Shap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1" name="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2" name="Shap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3" name="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4" name="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5" name="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6" name="Shap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7" name="Shap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8" name="Shap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89" name="Shap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0" name="Shap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1" name="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2" name="Shap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3" name="Shap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4" name="Shap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5" name="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6" name="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7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8" name="Shap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699" name="Shap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0" name="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1" name="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2" name="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3" name="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4" name="Shap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5" name="Shap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6" name="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7" name="Shape 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8" name="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09" name="Shape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0" name="Shape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1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2" name="Shape 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3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4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5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6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7" name="Shap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8" name="Shape 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19" name="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0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1" name="Shape 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2" name="Shape 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3" name="Shape 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4" name="Shape 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5" name="Shape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6" name="Shape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7" name="Shape 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8" name="Shape 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29" name="Shape 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0" name="Shape 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1" name="Shape 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2" name="Shape 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3" name="Shape 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4" name="Shape 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5" name="Shape 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6" name="Shape 4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7" name="Shape 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8" name="Shape 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39" name="Shape 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0" name="Shape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1" name="Shape 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2" name="Shape 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3" name="Shape 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4" name="Shape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5" name="Shape 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6" name="Shape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7" name="Shape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8" name="Shape 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49" name="Shape 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0" name="Shape 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1" name="Shape 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2" name="Shape 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3" name="Shape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4" name="Shape 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5" name="Shape 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6" name="Shape 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7" name="Shape 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8" name="Shape 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59" name="Shape 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0" name="Shape 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1" name="Shape 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2" name="Shape 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3" name="Shap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4" name="Shape 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5" name="Shape 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6" name="Shape 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7" name="Shape 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8" name="Shape 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69" name="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0" name="Shape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1" name="Shape 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2" name="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3" name="Shape 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4" name="Shape 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5" name="Shape 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6" name="Shape 4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7" name="Shape 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8" name="Shape 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79" name="Shape 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0" name="Shape 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1" name="Shape 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2" name="Shape 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3" name="Shape 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4" name="Shape 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5" name="Shape 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6" name="Shape 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7" name="Shape 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8" name="Shap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89" name="Shape 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0" name="Shape 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1" name="Shape 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2" name="Shape 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3" name="Shape 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4" name="Shape 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5" name="Shape 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6" name="Shape 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7" name="Shape 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8" name="Shape 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799" name="Shape 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0" name="Shape 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1" name="Shape 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2" name="Shape 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3" name="Shape 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4" name="Shape 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5" name="Shape 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6" name="Shape 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7" name="Shape 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8" name="Shape 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09" name="Shape 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0" name="Shape 4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1" name="Shape 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2" name="Shape 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3" name="Shape 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4" name="Shape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5" name="Shape 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6" name="Shape 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7" name="Shape 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8" name="Shape 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19" name="Shape 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0" name="Shape 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1" name="Shape 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2" name="Shape 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3" name="Shape 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4" name="Shape 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5" name="Shape 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6" name="Shape 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7" name="Shape 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8" name="Shape 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29" name="Shape 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0" name="Shape 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1" name="Shape 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2" name="Shape 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3" name="Shape 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4" name="Shape 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5" name="Shape 4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6" name="Shape 4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7" name="Shape 4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8" name="Shape 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39" name="Shape 4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0" name="Shape 4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1" name="Shape 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2" name="Shape 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3" name="Shape 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4" name="Shape 4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5" name="Shape 4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6" name="Shape 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7" name="Shape 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8" name="Shape 4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49" name="Shape 4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0" name="Shape 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1" name="Shape 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2" name="Shape 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3" name="Shape 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4" name="Shape 4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5" name="Shape 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6" name="Shape 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7" name="Shape 4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8" name="Shape 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59" name="Shape 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0" name="Shape 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1" name="Shape 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2" name="Shape 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3" name="Shape 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4" name="Shape 4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5" name="Shape 4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6" name="Shape 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7" name="Shape 4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8" name="Shape 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69" name="Shape 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0" name="Shape 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1" name="Shape 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2" name="Shape 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3" name="Shape 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4" name="Shape 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5" name="Shape 4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6" name="Shape 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7" name="Shape 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8" name="Shape 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79" name="Shape 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0" name="Shape 4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1" name="Shape 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2" name="Shape 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3" name="Shape 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4" name="Shape 4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5" name="Shape 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6" name="Shape 4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7" name="Shape 4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8" name="Shape 4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89" name="Shape 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0" name="Shape 4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1" name="Shape 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2" name="Shape 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3" name="Shape 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4" name="Shape 4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5" name="Shape 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6" name="Shape 4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7" name="Shape 4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8" name="Shape 4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899" name="Shape 4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0" name="Shape 4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1" name="Shape 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2" name="Shape 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3" name="Shape 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4" name="Shape 4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5" name="Shape 4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6" name="Shape 4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7" name="Shape 4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8" name="Shape 4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09" name="Shape 4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0" name="Shape 4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1" name="Shape 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2" name="Shape 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3" name="Shape 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4" name="Shape 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5" name="Shape 4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6" name="Shape 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7" name="Shape 4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8" name="Shape 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19" name="Shape 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0" name="Shape 4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1" name="Shape 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2" name="Shape 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3" name="Shape 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4" name="Shape 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5" name="Shape 4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6" name="Shape 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7" name="Shape 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8" name="Shape 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29" name="Shape 4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0" name="Shape 4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1" name="Shape 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2" name="Shape 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3" name="Shape 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4" name="Shape 4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5" name="Shape 4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6" name="Shape 4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7" name="Shape 4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8" name="Shape 4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39" name="Shape 4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0" name="Shape 4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1" name="Shape 4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2" name="Shape 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3" name="Shape 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4" name="Shape 4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5" name="Shape 4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6" name="Shape 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7" name="Shape 4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8" name="Shape 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49" name="Shape 4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0" name="Shape 4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1" name="Shape 4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2" name="Shape 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3" name="Shape 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4" name="Shape 4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5" name="Shape 4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6" name="Shape 4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7" name="Shape 4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8" name="Shape 4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59" name="Shape 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0" name="Shape 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1" name="Shape 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2" name="Shape 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3" name="Shape 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4" name="Shape 4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5" name="Shape 4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6" name="Shape 4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7" name="Shape 4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8" name="Shape 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69" name="Shape 4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0" name="Shape 4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1" name="Shape 4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2" name="Shape 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3" name="Shape 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907732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974" name="Shape 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917257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975" name="Shape 3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917257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6" name="Shape 4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7" name="Shape 4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8" name="Shape 4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79" name="Shape 4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0" name="Shape 4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1" name="Shape 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2" name="Shape 4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3" name="Shape 4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4" name="Shape 4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5" name="Shape 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6" name="Shape 4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7" name="Shape 4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8" name="Shape 4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89" name="Shape 4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0" name="Shape 4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1" name="Shape 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2" name="Shape 4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3" name="Shape 4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4" name="Shape 4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5" name="Shape 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6" name="Shape 4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7" name="Shape 4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8" name="Shape 4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999" name="Shape 4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0" name="Shape 4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1" name="Shape 4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2" name="Shape 4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3" name="Shape 4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4" name="Shape 4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5" name="Shape 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6" name="Shape 4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7" name="Shape 4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8" name="Shape 4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09" name="Shape 4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0" name="Shape 4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1" name="Shape 4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2" name="Shape 4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3" name="Shape 4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4" name="Shape 4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5" name="Shape 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6" name="Shape 4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7" name="Shape 4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8" name="Shape 4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19" name="Shape 4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0" name="Shape 4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1" name="Shape 4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2" name="Shape 4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3" name="Shape 4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4" name="Shape 4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5" name="Shape 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6" name="Shape 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7" name="Shape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8" name="Shap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29" name="Shape 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0" name="Shape 4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1" name="Shape 4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2" name="Shape 4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3" name="Shape 4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4" name="Shape 4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5" name="Shape 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6" name="Shape 4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7" name="Shape 4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8" name="Shape 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39" name="Shape 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0" name="Shape 4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1" name="Shape 4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2" name="Shape 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3" name="Shape 4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4" name="Shape 4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5" name="Shape 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6" name="Shape 4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7" name="Shape 4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8" name="Shape 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49" name="Shape 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0" name="Shape 4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1" name="Shape 4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2" name="Shape 4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3" name="Shape 4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4" name="Shape 4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5" name="Shape 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6" name="Shape 4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7" name="Shape 4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8" name="Shape 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59" name="Shape 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0" name="Shape 4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1" name="Shape 4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2" name="Shape 4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3" name="Shape 4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4" name="Shape 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5" name="Shape 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6" name="Shape 4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7" name="Shape 4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8" name="Shape 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69" name="Shape 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0" name="Shape 4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1" name="Shape 4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2" name="Shape 4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3" name="Shape 4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4" name="Shape 4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5" name="Shape 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6" name="Shape 4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7" name="Shape 4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8" name="Shape 4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79" name="Shape 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0" name="Shape 4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1" name="Shape 4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2" name="Shape 4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3" name="Shape 4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4" name="Shape 4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5" name="Shape 4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6" name="Shape 4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7" name="Shape 4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8" name="Shape 4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89" name="Shape 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0" name="Shape 4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1" name="Shape 4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2" name="Shape 4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3" name="Shape 4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4" name="Shape 4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5" name="Shape 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6" name="Shape 4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7" name="Shape 4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8" name="Shape 4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099" name="Shape 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0" name="Shape 4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1" name="Shape 4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2" name="Shape 4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3" name="Shape 4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4" name="Shape 4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5" name="Shape 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6" name="Shape 4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7" name="Shape 4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8" name="Shape 4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09" name="Shape 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0" name="Shape 4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1" name="Shape 4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2" name="Shape 4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3" name="Shape 4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4" name="Shape 4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5" name="Shape 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6" name="Shape 4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7" name="Shape 4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8" name="Shape 4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19" name="Shape 4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0" name="Shape 4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1" name="Shape 4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2" name="Shape 4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3" name="Shape 4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4" name="Shape 4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5" name="Shape 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6" name="Shape 4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7" name="Shape 4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8" name="Shape 4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29" name="Shape 4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0" name="Shape 4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1" name="Shape 4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2" name="Shape 4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3" name="Shape 4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4" name="Shape 4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5" name="Shape 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6" name="Shape 4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7" name="Shape 4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8" name="Shape 4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39" name="Shape 4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0" name="Shape 4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1" name="Shape 4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2" name="Shape 4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3" name="Shape 4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4" name="Shape 4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5" name="Shape 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6" name="Shape 4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7" name="Shape 4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8" name="Shape 4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49" name="Shape 4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0" name="Shape 4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1" name="Shape 4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2" name="Shape 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3" name="Shape 4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4" name="Shape 4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5" name="Shape 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6" name="Shape 4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7" name="Shape 4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8" name="Shape 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59" name="Shape 4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0" name="Shape 4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1" name="Shape 4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2" name="Shape 4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3" name="Shape 4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4" name="Shape 4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5" name="Shape 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6" name="Shape 4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7" name="Shape 4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8" name="Shape 4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69" name="Shape 4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0" name="Shape 4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1" name="Shape 4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2" name="Shape 4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3" name="Shape 4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4" name="Shape 4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5" name="Shape 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6" name="Shape 4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7" name="Shape 4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8" name="Shape 4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79" name="Shape 4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0" name="Shape 4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1" name="Shape 4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2" name="Shape 4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3" name="Shape 4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4" name="Shape 4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5" name="Shape 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6" name="Shape 4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7" name="Shape 4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8" name="Shape 4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89" name="Shape 4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0" name="Shape 4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1" name="Shape 4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2" name="Shape 4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3" name="Shape 4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4" name="Shape 4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5" name="Shape 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6" name="Shape 4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7" name="Shape 4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8" name="Shape 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199" name="Shape 4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0" name="Shape 4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1" name="Shape 4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2" name="Shape 4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3" name="Shape 4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4" name="Shape 4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5" name="Shape 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6" name="Shape 4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7" name="Shape 4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8" name="Shape 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09" name="Shape 4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0" name="Shape 4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1" name="Shape 4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2" name="Shape 4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3" name="Shape 4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4" name="Shape 4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5" name="Shape 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6" name="Shape 4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7" name="Shape 4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8" name="Shape 4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19" name="Shape 4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0" name="Shape 4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1" name="Shape 4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2" name="Shape 4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3" name="Shape 4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4" name="Shape 4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5" name="Shape 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6" name="Shape 4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7" name="Shape 4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8" name="Shape 4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29" name="Shape 4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0" name="Shape 4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1" name="Shape 4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2" name="Shape 4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3" name="Shape 4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4" name="Shape 4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5" name="Shape 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6" name="Shape 4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7" name="Shape 4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8" name="Shape 4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39" name="Shape 4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0" name="Shape 4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1" name="Shape 4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2" name="Shape 4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3" name="Shape 4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4" name="Shape 4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5" name="Shape 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6" name="Shape 4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7" name="Shape 4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8" name="Shape 4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49" name="Shape 4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0" name="Shape 4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1" name="Shape 4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2" name="Shape 4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3" name="Shape 4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4" name="Shape 4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5" name="Shape 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6" name="Shape 4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7" name="Shape 4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8" name="Shape 4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59" name="Shape 4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0" name="Shape 4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1" name="Shape 4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2" name="Shape 4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3" name="Shape 4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4" name="Shape 4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5" name="Shape 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6" name="Shape 4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7" name="Shape 4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8" name="Shape 4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69" name="Shape 4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0" name="Shape 4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1" name="Shape 4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2" name="Shape 4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3" name="Shape 4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4" name="Shape 4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5" name="Shape 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6" name="Shape 4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7" name="Shape 4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8" name="Shape 4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79" name="Shape 4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0" name="Shape 4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1" name="Shape 4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2" name="Shape 4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3" name="Shape 4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4" name="Shape 4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5" name="Shape 4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6" name="Shape 4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7" name="Shape 4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8" name="Shape 4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89" name="Shape 4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0" name="Shape 4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1" name="Shape 4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2" name="Shape 4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3" name="Shape 4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4" name="Shape 4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5" name="Shape 4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6" name="Shape 4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297" name="Shape 4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17257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04800" cy="314325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72575" y="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0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1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2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3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4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5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6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7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8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09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0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1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2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3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4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5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6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7" name="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8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19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0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1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2" name="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3" name="Shap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4" name="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5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6" name="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7" name="Shap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8" name="Shap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29" name="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0" name="Shap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1" name="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2" name="Shap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3" name="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4" name="Shap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5" name="Shap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6" name="Shap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7" name="Shap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8" name="Shap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39" name="Shap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0" name="Shap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1" name="Shap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2" name="Shap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3" name="Shap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4" name="Shap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5" name="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6" name="Shap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7" name="Shap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8" name="Shap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49" name="Shap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0" name="Shap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1" name="Shape 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2" name="Shap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3" name="Shap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4" name="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5" name="Shape 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6" name="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7" name="Shape 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8" name="Shape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59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0" name="Shape 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1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2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3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4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5" name="Shap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6" name="Shape 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7" name="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8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69" name="Shape 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0" name="Shape 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1" name="Shape 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2" name="Shape 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3" name="Shape 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4" name="Shape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5" name="Shape 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6" name="Shape 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7" name="Shape 4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8" name="Shape 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79" name="Shape 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0" name="Shape 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1" name="Shape 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2" name="Shape 4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3" name="Shape 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4" name="Shape 4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5" name="Shape 4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6" name="Shape 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7" name="Shape 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8" name="Shape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89" name="Shape 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0" name="Shape 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1" name="Shape 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2" name="Shape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3" name="Shape 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4" name="Shape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5" name="Shape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6" name="Shape 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7" name="Shape 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8" name="Shape 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99" name="Shape 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0" name="Shape 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1" name="Shape 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2" name="Shape 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3" name="Shape 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4" name="Shape 4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5" name="Shape 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6" name="Shape 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7" name="Shape 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8" name="Shape 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09" name="Shape 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0" name="Shape 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1" name="Shap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2" name="Shape 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3" name="Shape 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4" name="Shape 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5" name="Shape 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6" name="Shape 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7" name="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8" name="Shape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19" name="Shape 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0" name="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1" name="Shape 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2" name="Shape 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3" name="Shape 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4" name="Shape 4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5" name="Shape 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6" name="Shape 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7" name="Shape 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8" name="Shape 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29" name="Shape 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0" name="Shape 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1" name="Shape 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2" name="Shape 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3" name="Shape 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4" name="Shape 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5" name="Shape 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6" name="Shape 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7" name="Shape 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8" name="Shape 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39" name="Shape 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0" name="Shape 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1" name="Shape 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2" name="Shape 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3" name="Shape 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4" name="Shape 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5" name="Shape 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6" name="Shape 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7" name="Shape 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8" name="Shape 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49" name="Shape 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0" name="Shape 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1" name="Shape 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2" name="Shape 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3" name="Shape 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4" name="Shape 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5" name="Shape 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6" name="Shape 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7" name="Shape 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8" name="Shape 4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59" name="Shape 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0" name="Shape 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1" name="Shape 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2" name="Shape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3" name="Shape 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4" name="Shape 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5" name="Shape 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6" name="Shape 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7" name="Shape 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8" name="Shape 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69" name="Shape 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0" name="Shape 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1" name="Shape 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2" name="Shape 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3" name="Shape 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4" name="Shape 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5" name="Shape 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6" name="Shape 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7" name="Shape 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8" name="Shape 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79" name="Shape 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0" name="Shape 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1" name="Shape 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2" name="Shape 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3" name="Shape 4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4" name="Shape 4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5" name="Shape 4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6" name="Shape 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7" name="Shape 4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8" name="Shape 4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89" name="Shape 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0" name="Shape 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1" name="Shape 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2" name="Shape 4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3" name="Shape 4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4" name="Shape 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5" name="Shape 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6" name="Shape 4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7" name="Shape 4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8" name="Shape 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99" name="Shape 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0" name="Shape 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1" name="Shape 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2" name="Shape 4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3" name="Shape 4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4" name="Shape 4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5" name="Shape 4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6" name="Shape 4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7" name="Shape 4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8" name="Shape 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09" name="Shape 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0" name="Shape 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1" name="Shape 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2" name="Shape 4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3" name="Shape 4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4" name="Shape 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5" name="Shape 4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6" name="Shape 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7" name="Shape 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8" name="Shape 4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19" name="Shape 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0" name="Shape 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1" name="Shape 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2" name="Shape 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3" name="Shape 4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4" name="Shape 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5" name="Shape 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6" name="Shape 4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7" name="Shape 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8" name="Shape 4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29" name="Shape 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0" name="Shape 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1" name="Shape 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2" name="Shape 4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3" name="Shape 4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4" name="Shape 4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5" name="Shape 4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6" name="Shape 4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7" name="Shape 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8" name="Shape 4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39" name="Shape 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0" name="Shape 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1" name="Shape 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2" name="Shape 4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3" name="Shape 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4" name="Shape 4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5" name="Shape 4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6" name="Shape 4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7" name="Shape 4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8" name="Shape 4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49" name="Shape 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0" name="Shape 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1" name="Shape 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2" name="Shape 4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3" name="Shape 4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4" name="Shape 4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5" name="Shape 4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6" name="Shape 4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7" name="Shape 4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8" name="Shape 4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59" name="Shape 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0" name="Shape 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1" name="Shape 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2" name="Shape 4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3" name="Shape 4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4" name="Shape 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5" name="Shape 4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6" name="Shape 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7" name="Shape 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8" name="Shape 4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69" name="Shape 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0" name="Shape 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1" name="Shape 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2" name="Shape 4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3" name="Shape 4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4" name="Shape 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5" name="Shape 4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6" name="Shape 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7" name="Shape 4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8" name="Shape 4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79" name="Shape 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0" name="Shape 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1" name="Shape 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2" name="Shape 4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3" name="Shape 4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4" name="Shape 4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5" name="Shape 4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6" name="Shape 4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7" name="Shape 4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8" name="Shape 4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89" name="Shape 4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0" name="Shape 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1" name="Shape 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2" name="Shape 4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3" name="Shape 4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4" name="Shape 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5" name="Shape 4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6" name="Shape 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7" name="Shape 4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8" name="Shape 4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599" name="Shape 4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0" name="Shape 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1" name="Shape 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2" name="Shape 4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3" name="Shape 4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4" name="Shape 4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5" name="Shape 4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6" name="Shape 4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7" name="Shape 4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8" name="Shape 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09" name="Shape 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0" name="Shape 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1" name="Shape 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2" name="Shape 4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3" name="Shape 4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4" name="Shape 4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5" name="Shape 4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6" name="Shape 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7" name="Shape 4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8" name="Shape 4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19" name="Shape 4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20" name="Shape 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621" name="Shape 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917257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90" zoomScaleNormal="90" workbookViewId="0">
      <selection activeCell="F16" sqref="F16"/>
    </sheetView>
  </sheetViews>
  <sheetFormatPr baseColWidth="10" defaultColWidth="14.44140625" defaultRowHeight="15" customHeight="1" x14ac:dyDescent="0.3"/>
  <cols>
    <col min="1" max="1" width="11.33203125" customWidth="1"/>
    <col min="2" max="2" width="16.109375" customWidth="1"/>
    <col min="3" max="3" width="16.6640625" customWidth="1"/>
    <col min="4" max="4" width="19.6640625" customWidth="1"/>
    <col min="5" max="5" width="17.44140625" customWidth="1"/>
    <col min="6" max="6" width="15.88671875" customWidth="1"/>
    <col min="7" max="7" width="15.44140625" customWidth="1"/>
    <col min="8" max="8" width="10.6640625" customWidth="1"/>
    <col min="9" max="10" width="15.88671875" bestFit="1" customWidth="1"/>
    <col min="11" max="11" width="17.6640625" customWidth="1"/>
    <col min="12" max="12" width="16.44140625" customWidth="1"/>
    <col min="13" max="26" width="10.6640625" customWidth="1"/>
  </cols>
  <sheetData>
    <row r="1" spans="1:10" ht="15" customHeight="1" x14ac:dyDescent="0.3">
      <c r="A1" s="1" t="s">
        <v>0</v>
      </c>
      <c r="B1" s="2"/>
      <c r="C1" s="3"/>
      <c r="G1" s="4"/>
    </row>
    <row r="2" spans="1:10" ht="15" customHeight="1" x14ac:dyDescent="0.3">
      <c r="A2" s="67">
        <v>1234</v>
      </c>
      <c r="B2" s="2"/>
      <c r="C2" s="2"/>
    </row>
    <row r="3" spans="1:10" ht="15" customHeight="1" x14ac:dyDescent="0.3">
      <c r="A3" s="5"/>
      <c r="B3" s="6" t="s">
        <v>1</v>
      </c>
      <c r="C3" s="54" t="s">
        <v>43</v>
      </c>
      <c r="D3" s="55" t="s">
        <v>44</v>
      </c>
      <c r="E3" s="49"/>
      <c r="F3" s="2"/>
      <c r="H3" s="2"/>
    </row>
    <row r="4" spans="1:10" ht="15" customHeight="1" x14ac:dyDescent="0.3">
      <c r="A4" s="7" t="s">
        <v>18</v>
      </c>
      <c r="B4" s="6" t="s">
        <v>2</v>
      </c>
      <c r="C4" s="56">
        <v>1234</v>
      </c>
      <c r="D4" s="55" t="s">
        <v>45</v>
      </c>
      <c r="E4" s="49"/>
    </row>
    <row r="5" spans="1:10" ht="15" customHeight="1" x14ac:dyDescent="0.3">
      <c r="A5" s="66">
        <v>46077</v>
      </c>
      <c r="B5" s="19" t="s">
        <v>35</v>
      </c>
      <c r="C5" s="25" t="s">
        <v>15</v>
      </c>
      <c r="D5" s="22" t="s">
        <v>16</v>
      </c>
      <c r="E5" s="19" t="s">
        <v>37</v>
      </c>
      <c r="F5" s="24" t="s">
        <v>17</v>
      </c>
      <c r="G5" s="30"/>
      <c r="H5" s="13"/>
      <c r="J5" s="26"/>
    </row>
    <row r="6" spans="1:10" ht="15" customHeight="1" x14ac:dyDescent="0.3">
      <c r="A6" s="8" t="s">
        <v>34</v>
      </c>
      <c r="B6" s="57">
        <v>100</v>
      </c>
      <c r="C6" s="65"/>
      <c r="D6" s="58"/>
      <c r="E6" s="59">
        <v>100</v>
      </c>
      <c r="F6" s="21">
        <f>B6*E6</f>
        <v>10000</v>
      </c>
      <c r="G6" s="28"/>
      <c r="J6" s="26"/>
    </row>
    <row r="7" spans="1:10" ht="15" customHeight="1" x14ac:dyDescent="0.3">
      <c r="A7" s="8" t="s">
        <v>28</v>
      </c>
      <c r="B7" s="57">
        <v>100</v>
      </c>
      <c r="C7" s="65"/>
      <c r="D7" s="60"/>
      <c r="E7" s="61">
        <v>100</v>
      </c>
      <c r="F7" s="21">
        <f>B7*E7</f>
        <v>10000</v>
      </c>
      <c r="G7" s="51"/>
    </row>
    <row r="8" spans="1:10" ht="15" customHeight="1" x14ac:dyDescent="0.3">
      <c r="A8" s="47" t="s">
        <v>36</v>
      </c>
      <c r="B8" s="46">
        <v>1395</v>
      </c>
      <c r="F8" s="29">
        <f>(F6+F7)</f>
        <v>20000</v>
      </c>
      <c r="G8" s="52"/>
    </row>
    <row r="9" spans="1:10" ht="15" customHeight="1" x14ac:dyDescent="0.3">
      <c r="A9" s="42"/>
      <c r="B9" s="43"/>
      <c r="C9" s="9"/>
      <c r="E9" s="27"/>
      <c r="F9" s="23">
        <f>F8*1.1</f>
        <v>22000</v>
      </c>
      <c r="G9" s="10" t="s">
        <v>3</v>
      </c>
    </row>
    <row r="10" spans="1:10" ht="15" customHeight="1" x14ac:dyDescent="0.3">
      <c r="A10" s="44"/>
      <c r="B10" s="20" t="s">
        <v>13</v>
      </c>
      <c r="C10" s="68" t="s">
        <v>41</v>
      </c>
      <c r="E10" s="11" t="s">
        <v>29</v>
      </c>
      <c r="F10" s="62">
        <v>22000</v>
      </c>
      <c r="G10" s="50" t="s">
        <v>38</v>
      </c>
    </row>
    <row r="11" spans="1:10" ht="15" customHeight="1" x14ac:dyDescent="0.3">
      <c r="A11" s="45"/>
      <c r="C11" s="48"/>
      <c r="E11" s="69" t="s">
        <v>40</v>
      </c>
      <c r="F11" s="63"/>
      <c r="G11" s="12"/>
    </row>
    <row r="12" spans="1:10" ht="15" customHeight="1" x14ac:dyDescent="0.3">
      <c r="B12" s="20" t="s">
        <v>14</v>
      </c>
      <c r="C12" s="68" t="s">
        <v>42</v>
      </c>
      <c r="E12" s="70" t="s">
        <v>39</v>
      </c>
      <c r="F12" s="64"/>
    </row>
    <row r="13" spans="1:10" ht="15" customHeight="1" x14ac:dyDescent="0.3">
      <c r="A13" s="5"/>
      <c r="C13" s="27"/>
      <c r="G13" s="41"/>
    </row>
    <row r="14" spans="1:10" ht="15" customHeight="1" x14ac:dyDescent="0.3">
      <c r="B14" s="37" t="s">
        <v>31</v>
      </c>
      <c r="C14" s="71">
        <v>225</v>
      </c>
      <c r="D14" s="53" t="s">
        <v>32</v>
      </c>
    </row>
    <row r="15" spans="1:10" ht="15" customHeight="1" x14ac:dyDescent="0.3">
      <c r="B15" s="37" t="s">
        <v>6</v>
      </c>
      <c r="C15" s="71">
        <v>5.4</v>
      </c>
      <c r="D15" s="53" t="s">
        <v>33</v>
      </c>
    </row>
    <row r="16" spans="1:10" ht="15" customHeight="1" x14ac:dyDescent="0.3">
      <c r="B16" s="37" t="s">
        <v>8</v>
      </c>
      <c r="C16" s="71">
        <v>0.65</v>
      </c>
    </row>
  </sheetData>
  <pageMargins left="0.70866141732283472" right="0.70866141732283472" top="0.6692913385826772" bottom="0.35433070866141736" header="0" footer="0"/>
  <pageSetup paperSize="5" scale="120" orientation="landscape" r:id="rId1"/>
  <ignoredErrors>
    <ignoredError sqref="G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9"/>
  <sheetViews>
    <sheetView topLeftCell="A4" workbookViewId="0">
      <selection activeCell="C15" sqref="B15:C19"/>
    </sheetView>
  </sheetViews>
  <sheetFormatPr baseColWidth="10" defaultRowHeight="14.4" x14ac:dyDescent="0.3"/>
  <sheetData>
    <row r="3" spans="2:6" x14ac:dyDescent="0.3">
      <c r="B3" t="s">
        <v>20</v>
      </c>
    </row>
    <row r="5" spans="2:6" x14ac:dyDescent="0.3">
      <c r="B5" t="s">
        <v>21</v>
      </c>
      <c r="C5" t="s">
        <v>22</v>
      </c>
      <c r="F5" t="s">
        <v>24</v>
      </c>
    </row>
    <row r="6" spans="2:6" x14ac:dyDescent="0.3">
      <c r="B6" t="s">
        <v>23</v>
      </c>
    </row>
    <row r="8" spans="2:6" x14ac:dyDescent="0.3">
      <c r="B8" t="s">
        <v>25</v>
      </c>
    </row>
    <row r="9" spans="2:6" x14ac:dyDescent="0.3">
      <c r="B9" t="s">
        <v>26</v>
      </c>
    </row>
    <row r="11" spans="2:6" x14ac:dyDescent="0.3">
      <c r="B11" t="s">
        <v>27</v>
      </c>
    </row>
    <row r="18" spans="2:2" x14ac:dyDescent="0.3">
      <c r="B18" s="39"/>
    </row>
    <row r="19" spans="2:2" x14ac:dyDescent="0.3">
      <c r="B19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8:F18"/>
  <sheetViews>
    <sheetView workbookViewId="0">
      <selection activeCell="A13" sqref="A13:H19"/>
    </sheetView>
  </sheetViews>
  <sheetFormatPr baseColWidth="10" defaultRowHeight="14.4" x14ac:dyDescent="0.3"/>
  <sheetData>
    <row r="8" spans="2:6" x14ac:dyDescent="0.3">
      <c r="E8" s="13" t="s">
        <v>19</v>
      </c>
    </row>
    <row r="9" spans="2:6" x14ac:dyDescent="0.3">
      <c r="B9" s="14" t="s">
        <v>5</v>
      </c>
      <c r="C9" s="15">
        <v>12</v>
      </c>
      <c r="D9" s="16" t="s">
        <v>6</v>
      </c>
      <c r="E9" s="17">
        <v>3</v>
      </c>
    </row>
    <row r="10" spans="2:6" x14ac:dyDescent="0.3">
      <c r="B10" s="14" t="s">
        <v>7</v>
      </c>
      <c r="C10" s="15">
        <v>39.5</v>
      </c>
      <c r="D10" s="16" t="s">
        <v>8</v>
      </c>
      <c r="E10" s="15">
        <v>0.6</v>
      </c>
    </row>
    <row r="11" spans="2:6" x14ac:dyDescent="0.3">
      <c r="D11" s="16" t="s">
        <v>9</v>
      </c>
      <c r="E11" s="17">
        <v>15</v>
      </c>
      <c r="F11" s="18">
        <v>5</v>
      </c>
    </row>
    <row r="13" spans="2:6" x14ac:dyDescent="0.3">
      <c r="B13" s="31" t="s">
        <v>10</v>
      </c>
      <c r="C13" s="32">
        <f>225*0.65*8*0.12*700</f>
        <v>98280</v>
      </c>
      <c r="D13" s="31" t="s">
        <v>4</v>
      </c>
      <c r="E13" s="33">
        <f>C13*1200</f>
        <v>117936000</v>
      </c>
      <c r="F13" s="31" t="s">
        <v>11</v>
      </c>
    </row>
    <row r="14" spans="2:6" x14ac:dyDescent="0.3">
      <c r="B14" s="34" t="s">
        <v>30</v>
      </c>
      <c r="C14" s="35" t="s">
        <v>12</v>
      </c>
      <c r="D14" s="36"/>
      <c r="E14" s="36"/>
      <c r="F14" s="36"/>
    </row>
    <row r="16" spans="2:6" x14ac:dyDescent="0.3">
      <c r="B16" s="37" t="s">
        <v>31</v>
      </c>
      <c r="C16" s="38">
        <v>225</v>
      </c>
      <c r="D16" s="72" t="s">
        <v>32</v>
      </c>
      <c r="E16" s="72"/>
      <c r="F16" s="38">
        <f>C16*C17</f>
        <v>1215</v>
      </c>
    </row>
    <row r="17" spans="2:6" x14ac:dyDescent="0.3">
      <c r="B17" s="37" t="s">
        <v>6</v>
      </c>
      <c r="C17" s="38">
        <v>5.4</v>
      </c>
      <c r="D17" s="72" t="s">
        <v>33</v>
      </c>
      <c r="E17" s="72"/>
      <c r="F17" s="38">
        <f>F16/(C16*C18)</f>
        <v>8.3076923076923084</v>
      </c>
    </row>
    <row r="18" spans="2:6" x14ac:dyDescent="0.3">
      <c r="B18" s="37" t="s">
        <v>8</v>
      </c>
      <c r="C18" s="38">
        <v>0.65</v>
      </c>
    </row>
  </sheetData>
  <mergeCells count="2">
    <mergeCell ref="D16:E16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Mariano desde 2-5-23</vt:lpstr>
      <vt:lpstr>LOTEO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</dc:creator>
  <cp:lastModifiedBy>Octavio Galván</cp:lastModifiedBy>
  <dcterms:created xsi:type="dcterms:W3CDTF">2018-11-27T11:58:59Z</dcterms:created>
  <dcterms:modified xsi:type="dcterms:W3CDTF">2026-03-02T13:54:43Z</dcterms:modified>
</cp:coreProperties>
</file>